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Wiring" sheetId="2" state="visible" r:id="rId2"/>
    <sheet name="Firmware contract" sheetId="3" state="visible" r:id="rId3"/>
    <sheet name="Ri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5F73"/>
      <sz val="14"/>
    </font>
    <font>
      <b val="1"/>
      <color rgb="00FFFFFF"/>
      <sz val="11"/>
    </font>
    <font>
      <color rgb="000563C1"/>
      <sz val="9"/>
      <u val="single"/>
    </font>
    <font>
      <b val="1"/>
      <color rgb="00B45309"/>
    </font>
    <font>
      <b val="1"/>
      <sz val="12"/>
    </font>
    <font>
      <b val="1"/>
    </font>
    <font>
      <b val="1"/>
      <color rgb="00B45309"/>
      <sz val="14"/>
    </font>
  </fonts>
  <fills count="5">
    <fill>
      <patternFill/>
    </fill>
    <fill>
      <patternFill patternType="gray125"/>
    </fill>
    <fill>
      <patternFill patternType="solid">
        <fgColor rgb="000F5F73"/>
      </patternFill>
    </fill>
    <fill>
      <patternFill patternType="solid">
        <fgColor rgb="00FFF3E0"/>
      </patternFill>
    </fill>
    <fill>
      <patternFill patternType="solid">
        <fgColor rgb="00E6EEF2"/>
      </patternFill>
    </fill>
  </fills>
  <borders count="2">
    <border>
      <left/>
      <right/>
      <top/>
      <bottom/>
      <diagonal/>
    </border>
    <border>
      <left style="thin">
        <color rgb="00C8D4DC"/>
      </left>
      <right style="thin">
        <color rgb="00C8D4DC"/>
      </right>
      <top style="thin">
        <color rgb="00C8D4DC"/>
      </top>
      <bottom style="thin">
        <color rgb="00C8D4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3" borderId="0" pivotButton="0" quotePrefix="0" xfId="0"/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0" fontId="0" fillId="4" borderId="1" pivotButton="0" quotePrefix="0" xfId="0"/>
    <xf numFmtId="0" fontId="5" fillId="4" borderId="1" pivotButton="0" quotePrefix="0" xfId="0"/>
    <xf numFmtId="0" fontId="2" fillId="2" borderId="0" pivotButton="0" quotePrefix="0" xfId="0"/>
    <xf numFmtId="0" fontId="6" fillId="0" borderId="1" pivotButton="0" quotePrefix="0" xfId="0"/>
    <xf numFmtId="0" fontId="7" fillId="0" borderId="0" pivotButton="0" quotePrefix="0" xfId="0"/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bocraze.com/search?q=esp32+devkit" TargetMode="External" Id="rId1" /><Relationship Type="http://schemas.openxmlformats.org/officeDocument/2006/relationships/hyperlink" Target="https://robocraze.com/search?q=mpu6050" TargetMode="External" Id="rId2" /><Relationship Type="http://schemas.openxmlformats.org/officeDocument/2006/relationships/hyperlink" Target="https://robu.in/?s=FSR402" TargetMode="External" Id="rId3" /><Relationship Type="http://schemas.openxmlformats.org/officeDocument/2006/relationships/hyperlink" Target="https://robocraze.com/search?q=10k+ohm+resistor" TargetMode="External" Id="rId4" /><Relationship Type="http://schemas.openxmlformats.org/officeDocument/2006/relationships/hyperlink" Target="https://robocraze.com/search?q=18650+battery" TargetMode="External" Id="rId5" /><Relationship Type="http://schemas.openxmlformats.org/officeDocument/2006/relationships/hyperlink" Target="https://robocraze.com/search?q=tp4056+usb+c" TargetMode="External" Id="rId6" /><Relationship Type="http://schemas.openxmlformats.org/officeDocument/2006/relationships/hyperlink" Target="https://robocraze.com/search?q=mt3608" TargetMode="External" Id="rId7" /><Relationship Type="http://schemas.openxmlformats.org/officeDocument/2006/relationships/hyperlink" Target="https://robu.in/?s=18650+holder" TargetMode="External" Id="rId8" /><Relationship Type="http://schemas.openxmlformats.org/officeDocument/2006/relationships/hyperlink" Target="https://robu.in/?s=spst+slide+switch" TargetMode="External" Id="rId9" /><Relationship Type="http://schemas.openxmlformats.org/officeDocument/2006/relationships/hyperlink" Target="https://robu.in/?s=perfboard+7x9" TargetMode="External" Id="rId10" /><Relationship Type="http://schemas.openxmlformats.org/officeDocument/2006/relationships/hyperlink" Target="https://robu.in/?s=pin+header+40" TargetMode="External" Id="rId11" /><Relationship Type="http://schemas.openxmlformats.org/officeDocument/2006/relationships/hyperlink" Target="https://robu.in/?s=4+core+shielded+wire" TargetMode="External" Id="rId12" /><Relationship Type="http://schemas.openxmlformats.org/officeDocument/2006/relationships/hyperlink" Target="https://robocraze.com/search?q=plastic+enclosure+box" TargetMode="External" Id="rId13" /><Relationship Type="http://schemas.openxmlformats.org/officeDocument/2006/relationships/hyperlink" Target="https://robu.in/?s=heat+shrink+tube" TargetMode="External" Id="rId14" /><Relationship Type="http://schemas.openxmlformats.org/officeDocument/2006/relationships/hyperlink" Target="https://robu.in/?s=zip+ties" TargetMode="External" Id="rId15" /><Relationship Type="http://schemas.openxmlformats.org/officeDocument/2006/relationships/hyperlink" Target="https://robocraze.com/search?q=micro+usb+cable" TargetMode="External" Id="rId16" /><Relationship Type="http://schemas.openxmlformats.org/officeDocument/2006/relationships/hyperlink" Target="https://robu.in/?s=jumper+wires" TargetMode="External" Id="rId17" /><Relationship Type="http://schemas.openxmlformats.org/officeDocument/2006/relationships/hyperlink" Target="https://robu.in/?s=breadboard+830" TargetMode="External" Id="rId18" /><Relationship Type="http://schemas.openxmlformats.org/officeDocument/2006/relationships/hyperlink" Target="https://robu.in/?s=velcro+strap+elastic" TargetMode="External" Id="rId19" /><Relationship Type="http://schemas.openxmlformats.org/officeDocument/2006/relationships/hyperlink" Target="https://robu.in/?s=jst+xh+4+pin" TargetMode="External" Id="rId20" /><Relationship Type="http://schemas.openxmlformats.org/officeDocument/2006/relationships/hyperlink" Target="https://robu.in/?s=silicone+wire+26awg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" customWidth="1" min="3" max="3"/>
    <col width="9" customWidth="1" min="4" max="4"/>
    <col width="10" customWidth="1" min="5" max="5"/>
    <col width="14" customWidth="1" min="6" max="6"/>
    <col width="46" customWidth="1" min="7" max="7"/>
    <col width="12" customWidth="1" min="8" max="8"/>
    <col width="54" customWidth="1" min="9" max="9"/>
  </cols>
  <sheetData>
    <row r="1">
      <c r="A1" s="1" t="inlineStr">
        <is>
          <t>RehabSense — Bill of Materials (complete two-leg system)</t>
        </is>
      </c>
    </row>
    <row r="3">
      <c r="A3" s="2" t="inlineStr">
        <is>
          <t>#</t>
        </is>
      </c>
      <c r="B3" s="2" t="inlineStr">
        <is>
          <t>Component</t>
        </is>
      </c>
      <c r="C3" s="2" t="inlineStr">
        <is>
          <t>Qty</t>
        </is>
      </c>
      <c r="D3" s="2" t="inlineStr">
        <is>
          <t>Unit ₹</t>
        </is>
      </c>
      <c r="E3" s="2" t="inlineStr">
        <is>
          <t>Total ₹</t>
        </is>
      </c>
      <c r="F3" s="2" t="inlineStr">
        <is>
          <t>Vendor</t>
        </is>
      </c>
      <c r="G3" s="2" t="inlineStr">
        <is>
          <t>Search link</t>
        </is>
      </c>
      <c r="H3" s="2" t="inlineStr">
        <is>
          <t>Required?</t>
        </is>
      </c>
      <c r="I3" s="2" t="inlineStr">
        <is>
          <t>Notes</t>
        </is>
      </c>
    </row>
    <row r="4">
      <c r="A4" s="3" t="n">
        <v>1</v>
      </c>
      <c r="B4" s="4" t="inlineStr">
        <is>
          <t>ESP32 Dev Board (38-pin DevKit V1)</t>
        </is>
      </c>
      <c r="C4" s="3" t="n">
        <v>2</v>
      </c>
      <c r="D4" s="3" t="n">
        <v>381</v>
      </c>
      <c r="E4" s="3" t="n">
        <v>762</v>
      </c>
      <c r="F4" s="3" t="inlineStr">
        <is>
          <t>Robocraze</t>
        </is>
      </c>
      <c r="G4" s="5" t="inlineStr">
        <is>
          <t>https://robocraze.com/search?q=esp32+devkit</t>
        </is>
      </c>
      <c r="H4" s="3" t="inlineStr">
        <is>
          <t>REQUIRED</t>
        </is>
      </c>
      <c r="I4" s="4" t="inlineStr">
        <is>
          <t>One node per leg. 38-pin exposes GPIO32-39 (ADC1) needed for the FSR.</t>
        </is>
      </c>
    </row>
    <row r="5">
      <c r="A5" s="3" t="n">
        <v>2</v>
      </c>
      <c r="B5" s="4" t="inlineStr">
        <is>
          <t>GY-521 MPU6050 IMU module</t>
        </is>
      </c>
      <c r="C5" s="3" t="n">
        <v>4</v>
      </c>
      <c r="D5" s="3" t="n">
        <v>141</v>
      </c>
      <c r="E5" s="3" t="n">
        <v>564</v>
      </c>
      <c r="F5" s="3" t="inlineStr">
        <is>
          <t>Robocraze</t>
        </is>
      </c>
      <c r="G5" s="5" t="inlineStr">
        <is>
          <t>https://robocraze.com/search?q=mpu6050</t>
        </is>
      </c>
      <c r="H5" s="3" t="inlineStr">
        <is>
          <t>REQUIRED</t>
        </is>
      </c>
      <c r="I5" s="4" t="inlineStr">
        <is>
          <t>2 per leg (thigh + shin). Buy the GY-521 breakout — it has the regulator and I2C pull-ups.</t>
        </is>
      </c>
    </row>
    <row r="6">
      <c r="A6" s="3" t="n">
        <v>3</v>
      </c>
      <c r="B6" s="4" t="inlineStr">
        <is>
          <t>SOUSHINE FSR402 force sensing resistor (14.7 mm, 20 g–10 kg)</t>
        </is>
      </c>
      <c r="C6" s="3" t="n">
        <v>2</v>
      </c>
      <c r="D6" s="3" t="n">
        <v>188</v>
      </c>
      <c r="E6" s="3" t="n">
        <v>376</v>
      </c>
      <c r="F6" s="3" t="inlineStr">
        <is>
          <t>robu.in / Amazon</t>
        </is>
      </c>
      <c r="G6" s="5" t="inlineStr">
        <is>
          <t>https://robu.in/?s=FSR402</t>
        </is>
      </c>
      <c r="H6" s="3" t="inlineStr">
        <is>
          <t>OPTIONAL</t>
        </is>
      </c>
      <c r="I6" s="4" t="inlineStr">
        <is>
          <t>CONFIRMED CORRECT. Direct FSR-402 equivalent. Saturates ~10 kg — irrelevant, the backend only needs loaded/unloaded for stance detection (threshold 0.15 normalised). SHORT TAIL: needs ~60-70 cm extension to reach the thigh node. Solder fast at low heat (the tail is flexible printed circuit and delaminates) and add strain relief.</t>
        </is>
      </c>
    </row>
    <row r="7">
      <c r="A7" s="3" t="n">
        <v>4</v>
      </c>
      <c r="B7" s="4" t="inlineStr">
        <is>
          <t>10 kΩ resistor (pack of 10)</t>
        </is>
      </c>
      <c r="C7" s="3" t="n">
        <v>1</v>
      </c>
      <c r="D7" s="3" t="n">
        <v>13</v>
      </c>
      <c r="E7" s="3" t="n">
        <v>13</v>
      </c>
      <c r="F7" s="3" t="inlineStr">
        <is>
          <t>Robocraze</t>
        </is>
      </c>
      <c r="G7" s="5" t="inlineStr">
        <is>
          <t>https://robocraze.com/search?q=10k+ohm+resistor</t>
        </is>
      </c>
      <c r="H7" s="3" t="inlineStr">
        <is>
          <t>REQUIRED*</t>
        </is>
      </c>
      <c r="I7" s="4" t="inlineStr">
        <is>
          <t>*Only if using the pressure sensor. Pull-down for the divider.</t>
        </is>
      </c>
    </row>
    <row r="8">
      <c r="A8" s="3" t="n">
        <v>5</v>
      </c>
      <c r="B8" s="4" t="inlineStr">
        <is>
          <t>18650 Li-ion cell 2000–2600 mAh</t>
        </is>
      </c>
      <c r="C8" s="3" t="n">
        <v>2</v>
      </c>
      <c r="D8" s="3" t="n">
        <v>100</v>
      </c>
      <c r="E8" s="3" t="n">
        <v>200</v>
      </c>
      <c r="F8" s="3" t="inlineStr">
        <is>
          <t>Robocraze</t>
        </is>
      </c>
      <c r="G8" s="5" t="inlineStr">
        <is>
          <t>https://robocraze.com/search?q=18650+battery</t>
        </is>
      </c>
      <c r="H8" s="3" t="inlineStr">
        <is>
          <t>REQUIRED</t>
        </is>
      </c>
      <c r="I8" s="4" t="inlineStr">
        <is>
          <t>One per node. 3.7 V nominal — must be boosted, see MT3608.</t>
        </is>
      </c>
    </row>
    <row r="9">
      <c r="A9" s="3" t="n">
        <v>6</v>
      </c>
      <c r="B9" s="4" t="inlineStr">
        <is>
          <t>TP4056 USB-C charge + protection module</t>
        </is>
      </c>
      <c r="C9" s="3" t="n">
        <v>2</v>
      </c>
      <c r="D9" s="3" t="n">
        <v>26</v>
      </c>
      <c r="E9" s="3" t="n">
        <v>52</v>
      </c>
      <c r="F9" s="3" t="inlineStr">
        <is>
          <t>Robocraze</t>
        </is>
      </c>
      <c r="G9" s="5" t="inlineStr">
        <is>
          <t>https://robocraze.com/search?q=tp4056+usb+c</t>
        </is>
      </c>
      <c r="H9" s="3" t="inlineStr">
        <is>
          <t>REQUIRED</t>
        </is>
      </c>
      <c r="I9" s="4" t="inlineStr">
        <is>
          <t>Buy the version WITH protection circuit. Charges the 18650 safely.</t>
        </is>
      </c>
    </row>
    <row r="10">
      <c r="A10" s="3" t="n">
        <v>7</v>
      </c>
      <c r="B10" s="4" t="inlineStr">
        <is>
          <t>MT3608 step-up boost converter</t>
        </is>
      </c>
      <c r="C10" s="3" t="n">
        <v>2</v>
      </c>
      <c r="D10" s="3" t="n">
        <v>35</v>
      </c>
      <c r="E10" s="3" t="n">
        <v>70</v>
      </c>
      <c r="F10" s="3" t="inlineStr">
        <is>
          <t>Robocraze</t>
        </is>
      </c>
      <c r="G10" s="5" t="inlineStr">
        <is>
          <t>https://robocraze.com/search?q=mt3608</t>
        </is>
      </c>
      <c r="H10" s="3" t="inlineStr">
        <is>
          <t>REQUIRED</t>
        </is>
      </c>
      <c r="I10" s="4" t="inlineStr">
        <is>
          <t>Boost 3.7 V → 5 V into ESP32 VIN. Without this the board browns out. robu.in was out of stock.</t>
        </is>
      </c>
    </row>
    <row r="11">
      <c r="A11" s="3" t="n">
        <v>8</v>
      </c>
      <c r="B11" s="4" t="inlineStr">
        <is>
          <t>18650 battery holder (single)</t>
        </is>
      </c>
      <c r="C11" s="3" t="n">
        <v>2</v>
      </c>
      <c r="D11" s="3" t="n">
        <v>17</v>
      </c>
      <c r="E11" s="3" t="n">
        <v>34</v>
      </c>
      <c r="F11" s="3" t="inlineStr">
        <is>
          <t>robu.in</t>
        </is>
      </c>
      <c r="G11" s="5" t="inlineStr">
        <is>
          <t>https://robu.in/?s=18650+holder</t>
        </is>
      </c>
      <c r="H11" s="3" t="inlineStr">
        <is>
          <t>REQUIRED</t>
        </is>
      </c>
      <c r="I11" s="4" t="inlineStr">
        <is>
          <t>Sold as combo of 2 — one pack covers both nodes.</t>
        </is>
      </c>
    </row>
    <row r="12">
      <c r="A12" s="3" t="n">
        <v>9</v>
      </c>
      <c r="B12" s="4" t="inlineStr">
        <is>
          <t>SPST slide / toggle switch</t>
        </is>
      </c>
      <c r="C12" s="3" t="n">
        <v>2</v>
      </c>
      <c r="D12" s="3" t="n">
        <v>2</v>
      </c>
      <c r="E12" s="3" t="n">
        <v>4</v>
      </c>
      <c r="F12" s="3" t="inlineStr">
        <is>
          <t>robu.in</t>
        </is>
      </c>
      <c r="G12" s="5" t="inlineStr">
        <is>
          <t>https://robu.in/?s=spst+slide+switch</t>
        </is>
      </c>
      <c r="H12" s="3" t="inlineStr">
        <is>
          <t>REQUIRED</t>
        </is>
      </c>
      <c r="I12" s="4" t="inlineStr">
        <is>
          <t>Power isolation per node.</t>
        </is>
      </c>
    </row>
    <row r="13">
      <c r="A13" s="3" t="n">
        <v>10</v>
      </c>
      <c r="B13" s="4" t="inlineStr">
        <is>
          <t>Perfboard 7×9 cm (pack of 2)</t>
        </is>
      </c>
      <c r="C13" s="3" t="n">
        <v>1</v>
      </c>
      <c r="D13" s="3" t="n">
        <v>59</v>
      </c>
      <c r="E13" s="3" t="n">
        <v>59</v>
      </c>
      <c r="F13" s="3" t="inlineStr">
        <is>
          <t>robu.in</t>
        </is>
      </c>
      <c r="G13" s="5" t="inlineStr">
        <is>
          <t>https://robu.in/?s=perfboard+7x9</t>
        </is>
      </c>
      <c r="H13" s="3" t="inlineStr">
        <is>
          <t>REQUIRED</t>
        </is>
      </c>
      <c r="I13" s="4" t="inlineStr">
        <is>
          <t>One board per node — the pack of 2 is exactly right.</t>
        </is>
      </c>
    </row>
    <row r="14">
      <c r="A14" s="3" t="n">
        <v>11</v>
      </c>
      <c r="B14" s="4" t="inlineStr">
        <is>
          <t>Male + female pin headers (40-pin strip)</t>
        </is>
      </c>
      <c r="C14" s="3" t="n">
        <v>2</v>
      </c>
      <c r="D14" s="3" t="n">
        <v>11</v>
      </c>
      <c r="E14" s="3" t="n">
        <v>22</v>
      </c>
      <c r="F14" s="3" t="inlineStr">
        <is>
          <t>robu.in</t>
        </is>
      </c>
      <c r="G14" s="5" t="inlineStr">
        <is>
          <t>https://robu.in/?s=pin+header+40</t>
        </is>
      </c>
      <c r="H14" s="3" t="inlineStr">
        <is>
          <t>REQUIRED</t>
        </is>
      </c>
      <c r="I14" s="4" t="inlineStr">
        <is>
          <t>Socket the ESP32 rather than soldering it down — you will want to remove it.</t>
        </is>
      </c>
    </row>
    <row r="15">
      <c r="A15" s="3" t="n">
        <v>12</v>
      </c>
      <c r="B15" s="4" t="inlineStr">
        <is>
          <t>4-core shielded ribbon wire</t>
        </is>
      </c>
      <c r="C15" s="3" t="n">
        <v>2</v>
      </c>
      <c r="D15" s="3" t="n">
        <v>34</v>
      </c>
      <c r="E15" s="3" t="n">
        <v>68</v>
      </c>
      <c r="F15" s="3" t="inlineStr">
        <is>
          <t>robu.in</t>
        </is>
      </c>
      <c r="G15" s="5" t="inlineStr">
        <is>
          <t>https://robu.in/?s=4+core+shielded+wire</t>
        </is>
      </c>
      <c r="H15" s="3" t="inlineStr">
        <is>
          <t>REQUIRED</t>
        </is>
      </c>
      <c r="I15" s="4" t="inlineStr">
        <is>
          <t>1 m per leg: thigh ESP32 → shin IMU. Buy 2 m total.</t>
        </is>
      </c>
    </row>
    <row r="16">
      <c r="A16" s="3" t="n">
        <v>13</v>
      </c>
      <c r="B16" s="4" t="inlineStr">
        <is>
          <t>Plastic project enclosure</t>
        </is>
      </c>
      <c r="C16" s="3" t="n">
        <v>2</v>
      </c>
      <c r="D16" s="3" t="n">
        <v>40</v>
      </c>
      <c r="E16" s="3" t="n">
        <v>80</v>
      </c>
      <c r="F16" s="3" t="inlineStr">
        <is>
          <t>Robocraze</t>
        </is>
      </c>
      <c r="G16" s="5" t="inlineStr">
        <is>
          <t>https://robocraze.com/search?q=plastic+enclosure+box</t>
        </is>
      </c>
      <c r="H16" s="3" t="inlineStr">
        <is>
          <t>REQUIRED</t>
        </is>
      </c>
      <c r="I16" s="4" t="inlineStr">
        <is>
          <t>Houses ESP32 + battery + boost, worn mid-thigh. One per leg.</t>
        </is>
      </c>
    </row>
    <row r="17">
      <c r="A17" s="3" t="n">
        <v>14</v>
      </c>
      <c r="B17" s="4" t="inlineStr">
        <is>
          <t>Heat-shrink tube assortment</t>
        </is>
      </c>
      <c r="C17" s="3" t="n">
        <v>1</v>
      </c>
      <c r="D17" s="3" t="n">
        <v>197</v>
      </c>
      <c r="E17" s="3" t="n">
        <v>197</v>
      </c>
      <c r="F17" s="3" t="inlineStr">
        <is>
          <t>robu.in</t>
        </is>
      </c>
      <c r="G17" s="5" t="inlineStr">
        <is>
          <t>https://robu.in/?s=heat+shrink+tube</t>
        </is>
      </c>
      <c r="H17" s="3" t="inlineStr">
        <is>
          <t>REQUIRED</t>
        </is>
      </c>
      <c r="I17" s="4" t="inlineStr">
        <is>
          <t>100 m roll is far more than needed; a small assorted pack is fine if cheaper.</t>
        </is>
      </c>
    </row>
    <row r="18">
      <c r="A18" s="3" t="n">
        <v>15</v>
      </c>
      <c r="B18" s="4" t="inlineStr">
        <is>
          <t>Zip ties (pack of 100)</t>
        </is>
      </c>
      <c r="C18" s="3" t="n">
        <v>1</v>
      </c>
      <c r="D18" s="3" t="n">
        <v>225</v>
      </c>
      <c r="E18" s="3" t="n">
        <v>225</v>
      </c>
      <c r="F18" s="3" t="inlineStr">
        <is>
          <t>robu.in</t>
        </is>
      </c>
      <c r="G18" s="5" t="inlineStr">
        <is>
          <t>https://robu.in/?s=zip+ties</t>
        </is>
      </c>
      <c r="H18" s="3" t="inlineStr">
        <is>
          <t>NICE</t>
        </is>
      </c>
      <c r="I18" s="4" t="inlineStr">
        <is>
          <t>Cable management and strain relief.</t>
        </is>
      </c>
    </row>
    <row r="19">
      <c r="A19" s="6" t="inlineStr">
        <is>
          <t>ITEMS MISSING FROM YOUR LIST — add these</t>
        </is>
      </c>
    </row>
    <row r="20">
      <c r="A20" s="7" t="n">
        <v>17</v>
      </c>
      <c r="B20" s="8" t="inlineStr">
        <is>
          <t>Micro-USB / USB-C cable (data-capable)</t>
        </is>
      </c>
      <c r="C20" s="7" t="n">
        <v>2</v>
      </c>
      <c r="D20" s="7" t="n">
        <v>60</v>
      </c>
      <c r="E20" s="7" t="n">
        <v>120</v>
      </c>
      <c r="F20" s="7" t="inlineStr">
        <is>
          <t>Robocraze</t>
        </is>
      </c>
      <c r="G20" s="9" t="inlineStr">
        <is>
          <t>https://robocraze.com/search?q=micro+usb+cable</t>
        </is>
      </c>
      <c r="H20" s="10" t="inlineStr">
        <is>
          <t>MISSING</t>
        </is>
      </c>
      <c r="I20" s="8" t="inlineStr">
        <is>
          <t>You CANNOT flash the ESP32 without this. Must be a DATA cable, not charge-only.</t>
        </is>
      </c>
    </row>
    <row r="21">
      <c r="A21" s="7" t="n">
        <v>18</v>
      </c>
      <c r="B21" s="8" t="inlineStr">
        <is>
          <t>Jumper wires M-M + M-F (40 each)</t>
        </is>
      </c>
      <c r="C21" s="7" t="n">
        <v>2</v>
      </c>
      <c r="D21" s="7" t="n">
        <v>40</v>
      </c>
      <c r="E21" s="7" t="n">
        <v>80</v>
      </c>
      <c r="F21" s="7" t="inlineStr">
        <is>
          <t>robu.in</t>
        </is>
      </c>
      <c r="G21" s="9" t="inlineStr">
        <is>
          <t>https://robu.in/?s=jumper+wires</t>
        </is>
      </c>
      <c r="H21" s="10" t="inlineStr">
        <is>
          <t>MISSING</t>
        </is>
      </c>
      <c r="I21" s="8" t="inlineStr">
        <is>
          <t>Essential for breadboarding before you solder anything.</t>
        </is>
      </c>
    </row>
    <row r="22">
      <c r="A22" s="7" t="n">
        <v>19</v>
      </c>
      <c r="B22" s="8" t="inlineStr">
        <is>
          <t>Breadboard 830-point</t>
        </is>
      </c>
      <c r="C22" s="7" t="n">
        <v>2</v>
      </c>
      <c r="D22" s="7" t="n">
        <v>70</v>
      </c>
      <c r="E22" s="7" t="n">
        <v>140</v>
      </c>
      <c r="F22" s="7" t="inlineStr">
        <is>
          <t>robu.in</t>
        </is>
      </c>
      <c r="G22" s="9" t="inlineStr">
        <is>
          <t>https://robu.in/?s=breadboard+830</t>
        </is>
      </c>
      <c r="H22" s="10" t="inlineStr">
        <is>
          <t>MISSING</t>
        </is>
      </c>
      <c r="I22" s="8" t="inlineStr">
        <is>
          <t>Prove the I2C wiring works before committing to perfboard.</t>
        </is>
      </c>
    </row>
    <row r="23">
      <c r="A23" s="7" t="n">
        <v>20</v>
      </c>
      <c r="B23" s="8" t="inlineStr">
        <is>
          <t>Elastic velcro strap 5 cm × 1 m</t>
        </is>
      </c>
      <c r="C23" s="7" t="n">
        <v>4</v>
      </c>
      <c r="D23" s="7" t="n">
        <v>50</v>
      </c>
      <c r="E23" s="7" t="n">
        <v>200</v>
      </c>
      <c r="F23" s="7" t="inlineStr">
        <is>
          <t>robu.in</t>
        </is>
      </c>
      <c r="G23" s="9" t="inlineStr">
        <is>
          <t>https://robu.in/?s=velcro+strap+elastic</t>
        </is>
      </c>
      <c r="H23" s="10" t="inlineStr">
        <is>
          <t>MISSING</t>
        </is>
      </c>
      <c r="I23" s="8" t="inlineStr">
        <is>
          <t>Replaces the ₹382 neoprene bands you couldn't find — cheaper and better for sensor mounting.</t>
        </is>
      </c>
    </row>
    <row r="24">
      <c r="A24" s="7" t="n">
        <v>21</v>
      </c>
      <c r="B24" s="8" t="inlineStr">
        <is>
          <t>JST-XH 4-pin connector set</t>
        </is>
      </c>
      <c r="C24" s="7" t="n">
        <v>1</v>
      </c>
      <c r="D24" s="7" t="n">
        <v>60</v>
      </c>
      <c r="E24" s="7" t="n">
        <v>60</v>
      </c>
      <c r="F24" s="7" t="inlineStr">
        <is>
          <t>robu.in</t>
        </is>
      </c>
      <c r="G24" s="9" t="inlineStr">
        <is>
          <t>https://robu.in/?s=jst+xh+4+pin</t>
        </is>
      </c>
      <c r="H24" s="7" t="inlineStr">
        <is>
          <t>NICE</t>
        </is>
      </c>
      <c r="I24" s="8" t="inlineStr">
        <is>
          <t>Makes the shin sensor cable detachable. A soldered run will fail at the knee.</t>
        </is>
      </c>
    </row>
    <row r="25">
      <c r="A25" s="18" t="n">
        <v>99</v>
      </c>
      <c r="B25" s="19" t="inlineStr">
        <is>
          <t>Thin flexible wire for FSR tail extension (2-core, ~1.5 m)</t>
        </is>
      </c>
      <c r="C25" s="18" t="n">
        <v>1</v>
      </c>
      <c r="D25" s="18" t="n">
        <v>30</v>
      </c>
      <c r="E25" s="18" t="n">
        <v>30</v>
      </c>
      <c r="F25" s="18" t="inlineStr">
        <is>
          <t>robu.in</t>
        </is>
      </c>
      <c r="G25" s="20" t="inlineStr">
        <is>
          <t>https://robu.in/?s=silicone+wire+26awg</t>
        </is>
      </c>
      <c r="H25" s="18" t="inlineStr">
        <is>
          <t>REQUIRED*</t>
        </is>
      </c>
      <c r="I25" s="19" t="inlineStr">
        <is>
          <t>*If using the short-tail FSR. Runs heel → thigh node. Thin and flexible so it survives walking.</t>
        </is>
      </c>
    </row>
    <row r="26">
      <c r="A26" s="11" t="n"/>
      <c r="B26" s="12" t="inlineStr">
        <is>
          <t>TOTAL</t>
        </is>
      </c>
      <c r="C26" s="11" t="n"/>
      <c r="D26" s="11" t="n"/>
      <c r="E26" s="12">
        <f>SUM(E4:E25)</f>
        <v/>
      </c>
      <c r="F26" s="11" t="n"/>
      <c r="G26" s="11" t="n"/>
      <c r="H26" s="11" t="n"/>
      <c r="I26" s="11" t="n"/>
    </row>
  </sheetData>
  <mergeCells count="2">
    <mergeCell ref="A1:I1"/>
    <mergeCell ref="A19:I19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2" customWidth="1" min="3" max="3"/>
  </cols>
  <sheetData>
    <row r="1">
      <c r="A1" s="1" t="inlineStr">
        <is>
          <t>RehabSense — wiring, per leg node (build this twice)</t>
        </is>
      </c>
    </row>
    <row r="3">
      <c r="A3" s="13" t="inlineStr">
        <is>
          <t>From</t>
        </is>
      </c>
      <c r="B3" s="13" t="inlineStr">
        <is>
          <t>To</t>
        </is>
      </c>
      <c r="C3" s="13" t="inlineStr">
        <is>
          <t>Why it matters</t>
        </is>
      </c>
    </row>
    <row r="4">
      <c r="A4" s="4" t="inlineStr">
        <is>
          <t>18650 (+) via switch</t>
        </is>
      </c>
      <c r="B4" s="4" t="inlineStr">
        <is>
          <t>TP4056 B+</t>
        </is>
      </c>
      <c r="C4" s="4" t="inlineStr">
        <is>
          <t>Charge and protection sit closest to the cell.</t>
        </is>
      </c>
    </row>
    <row r="5">
      <c r="A5" s="4" t="inlineStr">
        <is>
          <t>TP4056 OUT+</t>
        </is>
      </c>
      <c r="B5" s="4" t="inlineStr">
        <is>
          <t>MT3608 IN+</t>
        </is>
      </c>
      <c r="C5" s="4" t="inlineStr">
        <is>
          <t>Boost the 3.7 V cell up before the ESP32.</t>
        </is>
      </c>
    </row>
    <row r="6">
      <c r="A6" s="8" t="inlineStr">
        <is>
          <t>MT3608 OUT+ (set to 5.0 V)</t>
        </is>
      </c>
      <c r="B6" s="8" t="inlineStr">
        <is>
          <t>ESP32 VIN</t>
        </is>
      </c>
      <c r="C6" s="8" t="inlineStr">
        <is>
          <t>SET THE OUTPUT TO 5 V WITH A MULTIMETER BEFORE CONNECTING. The trimpot ships arbitrary.</t>
        </is>
      </c>
    </row>
    <row r="7">
      <c r="A7" s="4" t="inlineStr">
        <is>
          <t>ESP32 3V3</t>
        </is>
      </c>
      <c r="B7" s="4" t="inlineStr">
        <is>
          <t>Both MPU6050 VCC</t>
        </is>
      </c>
      <c r="C7" s="4" t="inlineStr">
        <is>
          <t>GY-521 has an onboard regulator; 3.3 V is correct.</t>
        </is>
      </c>
    </row>
    <row r="8">
      <c r="A8" s="4" t="inlineStr">
        <is>
          <t>ESP32 GPIO21 (SDA)</t>
        </is>
      </c>
      <c r="B8" s="4" t="inlineStr">
        <is>
          <t>Both MPU6050 SDA</t>
        </is>
      </c>
      <c r="C8" s="4" t="inlineStr">
        <is>
          <t>Shared I2C bus.</t>
        </is>
      </c>
    </row>
    <row r="9">
      <c r="A9" s="4" t="inlineStr">
        <is>
          <t>ESP32 GPIO22 (SCL)</t>
        </is>
      </c>
      <c r="B9" s="4" t="inlineStr">
        <is>
          <t>Both MPU6050 SCL</t>
        </is>
      </c>
      <c r="C9" s="4" t="inlineStr">
        <is>
          <t>Shared I2C bus.</t>
        </is>
      </c>
    </row>
    <row r="10">
      <c r="A10" s="4" t="inlineStr">
        <is>
          <t>Thigh MPU6050 AD0</t>
        </is>
      </c>
      <c r="B10" s="4" t="inlineStr">
        <is>
          <t>GND</t>
        </is>
      </c>
      <c r="C10" s="4" t="inlineStr">
        <is>
          <t>Sets I2C address 0x68.</t>
        </is>
      </c>
    </row>
    <row r="11">
      <c r="A11" s="4" t="inlineStr">
        <is>
          <t>Shin MPU6050 AD0</t>
        </is>
      </c>
      <c r="B11" s="4" t="inlineStr">
        <is>
          <t>3.3 V</t>
        </is>
      </c>
      <c r="C11" s="4" t="inlineStr">
        <is>
          <t>Sets I2C address 0x69 — this is what allows two IMUs on one bus.</t>
        </is>
      </c>
    </row>
    <row r="12">
      <c r="A12" s="4" t="inlineStr">
        <is>
          <t>Pressure sensor leg 1</t>
        </is>
      </c>
      <c r="B12" s="4" t="inlineStr">
        <is>
          <t>ESP32 3V3</t>
        </is>
      </c>
      <c r="C12" s="4" t="inlineStr">
        <is>
          <t>Top of the voltage divider.</t>
        </is>
      </c>
    </row>
    <row r="13">
      <c r="A13" s="8" t="inlineStr">
        <is>
          <t>Pressure sensor leg 2</t>
        </is>
      </c>
      <c r="B13" s="8" t="inlineStr">
        <is>
          <t>GPIO34 + 10 kΩ to GND</t>
        </is>
      </c>
      <c r="C13" s="8" t="inlineStr">
        <is>
          <t>MUST be an ADC1 pin (32-39). ADC2 is dead while Wi-Fi is on.</t>
        </is>
      </c>
    </row>
    <row r="14">
      <c r="A14" s="4" t="inlineStr">
        <is>
          <t>All grounds</t>
        </is>
      </c>
      <c r="B14" s="4" t="inlineStr">
        <is>
          <t>Common GND</t>
        </is>
      </c>
      <c r="C14" s="4" t="inlineStr">
        <is>
          <t>Battery, boost, ESP32 and both IMUs share one ground.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" t="inlineStr">
        <is>
          <t>What the firmware must send — the backend rejects anything else</t>
        </is>
      </c>
    </row>
    <row r="3">
      <c r="A3" s="13" t="inlineStr">
        <is>
          <t>Field</t>
        </is>
      </c>
      <c r="B3" s="13" t="inlineStr">
        <is>
          <t>Requirement</t>
        </is>
      </c>
    </row>
    <row r="4">
      <c r="A4" s="14" t="inlineStr">
        <is>
          <t>Transport</t>
        </is>
      </c>
      <c r="B4" s="4" t="inlineStr">
        <is>
          <t>Wi-Fi WebSocket to ws://&lt;server&gt;:8000/ws/ingest/{session_id}?leg=LEFT or RIGHT</t>
        </is>
      </c>
    </row>
    <row r="5">
      <c r="A5" s="14" t="inlineStr">
        <is>
          <t>Handshake</t>
        </is>
      </c>
      <c r="B5" s="4" t="inlineStr">
        <is>
          <t>Send {"type":"hello","protocol_version":1,"device_id":"...","leg":"LEFT","firmware_version":"...","sensors":["thigh_imu","shin_imu","fsr"]}</t>
        </is>
      </c>
    </row>
    <row r="6">
      <c r="A6" s="14" t="inlineStr">
        <is>
          <t>Server replies</t>
        </is>
      </c>
      <c r="B6" s="4" t="inlineStr">
        <is>
          <t>hello_ack with session_id, server_time, sample_rate_hz (100.0)</t>
        </is>
      </c>
    </row>
    <row r="7">
      <c r="A7" s="14" t="inlineStr">
        <is>
          <t>Sample rate</t>
        </is>
      </c>
      <c r="B7" s="4" t="inlineStr">
        <is>
          <t>100 Hz per leg</t>
        </is>
      </c>
    </row>
    <row r="8">
      <c r="A8" s="14" t="inlineStr">
        <is>
          <t>Data packet</t>
        </is>
      </c>
      <c r="B8" s="4" t="inlineStr">
        <is>
          <t>{"type":"data","leg":"LEFT","samples":[ ... ]}</t>
        </is>
      </c>
    </row>
    <row r="9">
      <c r="A9" s="14" t="inlineStr">
        <is>
          <t>Each sample</t>
        </is>
      </c>
      <c r="B9" s="4" t="inlineStr">
        <is>
          <t>{"ts": seconds_float, "seq": int, "thigh":{ax,ay,az,gx,gy,gz}, "shin":{...}, "fsr": 0.0-1.0 optional}</t>
        </is>
      </c>
    </row>
    <row r="10">
      <c r="A10" s="14" t="inlineStr">
        <is>
          <t>Accelerometer units</t>
        </is>
      </c>
      <c r="B10" s="4" t="inlineStr">
        <is>
          <t>g (NOT m/s²)</t>
        </is>
      </c>
    </row>
    <row r="11">
      <c r="A11" s="14" t="inlineStr">
        <is>
          <t>Gyroscope units</t>
        </is>
      </c>
      <c r="B11" s="4" t="inlineStr">
        <is>
          <t>deg/s (NOT rad/s)</t>
        </is>
      </c>
    </row>
    <row r="12">
      <c r="A12" s="14" t="inlineStr">
        <is>
          <t>seq</t>
        </is>
      </c>
      <c r="B12" s="4" t="inlineStr">
        <is>
          <t>Per-SAMPLE counter, monotonically increasing. Used to detect dropped packets.</t>
        </is>
      </c>
    </row>
    <row r="13">
      <c r="A13" s="14" t="inlineStr">
        <is>
          <t>Calibration</t>
        </is>
      </c>
      <c r="B13" s="4" t="inlineStr">
        <is>
          <t>Hold both limbs still for the first 2.5 s — the server measures gyro bias then.</t>
        </is>
      </c>
    </row>
    <row r="14">
      <c r="A14" s="14" t="inlineStr">
        <is>
          <t>simulated flag</t>
        </is>
      </c>
      <c r="B14" s="4" t="inlineStr">
        <is>
          <t>Real hardware must OMIT it (or send false). Only the simulator sets it true.</t>
        </is>
      </c>
    </row>
    <row r="15">
      <c r="A15" s="14" t="inlineStr">
        <is>
          <t>Batching</t>
        </is>
      </c>
      <c r="B15" s="4" t="inlineStr">
        <is>
          <t>Send ~10 samples per packet at ~10 packets/s. Verified stable to 4000 samples/s.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15" t="inlineStr">
        <is>
          <t>Things that will cost you a day if missed</t>
        </is>
      </c>
    </row>
    <row r="3">
      <c r="A3" s="13" t="inlineStr">
        <is>
          <t>Risk</t>
        </is>
      </c>
      <c r="B3" s="13" t="inlineStr">
        <is>
          <t>What to do</t>
        </is>
      </c>
    </row>
    <row r="4">
      <c r="A4" s="16" t="inlineStr">
        <is>
          <t>College Wi-Fi blocks devices</t>
        </is>
      </c>
      <c r="B4" s="8" t="inlineStr">
        <is>
          <t>HIGHEST RISK. Most campus networks isolate clients, so the ESP32 cannot reach your laptop. Test with a phone hotspot BEFORE demo day. This kills the demo regardless of the electronics.</t>
        </is>
      </c>
    </row>
    <row r="5">
      <c r="A5" s="17" t="inlineStr">
        <is>
          <t>MT3608 output not set</t>
        </is>
      </c>
      <c r="B5" s="4" t="inlineStr">
        <is>
          <t>It ships at an arbitrary voltage. Turn the trimpot and confirm 5.0 V on a multimeter BEFORE wiring it to the ESP32, or you can destroy the board.</t>
        </is>
      </c>
    </row>
    <row r="6">
      <c r="A6" s="17" t="inlineStr">
        <is>
          <t>FSR on ADC2</t>
        </is>
      </c>
      <c r="B6" s="4" t="inlineStr">
        <is>
          <t>GPIO 0/2/4/12-15/25-27 are ADC2 and return garbage while Wi-Fi is active. Use GPIO 32-39 only.</t>
        </is>
      </c>
    </row>
    <row r="7">
      <c r="A7" s="17" t="inlineStr">
        <is>
          <t>Both IMUs on 0x68</t>
        </is>
      </c>
      <c r="B7" s="4" t="inlineStr">
        <is>
          <t>If you forget the AD0 pin, only one IMU responds and knee angle is impossible. Run an I2C scanner first — you must see 0x68 AND 0x69.</t>
        </is>
      </c>
    </row>
    <row r="8">
      <c r="A8" s="17" t="inlineStr">
        <is>
          <t>Charge-only USB cable</t>
        </is>
      </c>
      <c r="B8" s="4" t="inlineStr">
        <is>
          <t>A cable without data lines will not flash the board and gives no error that explains why.</t>
        </is>
      </c>
    </row>
    <row r="9">
      <c r="A9" s="17" t="inlineStr">
        <is>
          <t>Loose sensor mounting</t>
        </is>
      </c>
      <c r="B9" s="4" t="inlineStr">
        <is>
          <t>A sensor that slides on the skin adds error the filter cannot remove. Mount rigidly to the strap, not to loose fabric.</t>
        </is>
      </c>
    </row>
    <row r="10">
      <c r="A10" s="17" t="inlineStr">
        <is>
          <t>No spare MPU6050</t>
        </is>
      </c>
      <c r="B10" s="4" t="inlineStr">
        <is>
          <t>They are cheap and easy to kill with a wiring mistake. Buy one or two extra.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2026-09-08T05:18:56Z</dcterms:created>
  <dcterms:modified xsi:type="dcterms:W3CDTF">2026-09-08T05:19:31Z</dcterms:modified>
</cp:coreProperties>
</file>